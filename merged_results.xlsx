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9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10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11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12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vd.25\Desktop\introduce-to-programming\lab-tipes-of-sorting\"/>
    </mc:Choice>
  </mc:AlternateContent>
  <xr:revisionPtr revIDLastSave="0" documentId="13_ncr:1_{AC6D20B7-E7F1-4F0B-9FDA-B4E89C95F089}" xr6:coauthVersionLast="47" xr6:coauthVersionMax="47" xr10:uidLastSave="{00000000-0000-0000-0000-000000000000}"/>
  <bookViews>
    <workbookView xWindow="-120" yWindow="-120" windowWidth="29040" windowHeight="15840" firstSheet="2" activeTab="5" xr2:uid="{00000000-000D-0000-FFFF-FFFF00000000}"/>
  </bookViews>
  <sheets>
    <sheet name="n10_m10" sheetId="1" r:id="rId1"/>
    <sheet name="n10_m100" sheetId="2" r:id="rId2"/>
    <sheet name="n10_m1000" sheetId="3" r:id="rId3"/>
    <sheet name="n100_m10" sheetId="4" r:id="rId4"/>
    <sheet name="n100_m100" sheetId="5" r:id="rId5"/>
    <sheet name="n100_m1000" sheetId="6" r:id="rId6"/>
    <sheet name="n1000_m10" sheetId="7" r:id="rId7"/>
    <sheet name="n1000_m100" sheetId="8" r:id="rId8"/>
    <sheet name="n1000_m1000" sheetId="9" r:id="rId9"/>
    <sheet name="n10000_m10" sheetId="10" r:id="rId10"/>
    <sheet name="n10000_m100" sheetId="11" r:id="rId11"/>
    <sheet name="n10000_m1000" sheetId="12" r:id="rId12"/>
  </sheets>
  <definedNames>
    <definedName name="_xlchart.v1.0" hidden="1">n10_m10!$A$12:$A$19</definedName>
    <definedName name="_xlchart.v1.1" hidden="1">n10_m10!$A$13:$A$19</definedName>
    <definedName name="_xlchart.v1.2" hidden="1">n10_m10!$B$13:$B$19</definedName>
    <definedName name="_xlchart.v1.3" hidden="1">n10_m10!$B$22</definedName>
    <definedName name="_xlchart.v1.4" hidden="1">n10_m10!$B$22</definedName>
  </definedNames>
  <calcPr calcId="191029"/>
</workbook>
</file>

<file path=xl/calcChain.xml><?xml version="1.0" encoding="utf-8"?>
<calcChain xmlns="http://schemas.openxmlformats.org/spreadsheetml/2006/main">
  <c r="B12" i="10" l="1"/>
  <c r="B13" i="10"/>
  <c r="B14" i="10"/>
  <c r="B15" i="10"/>
  <c r="B16" i="10"/>
  <c r="B17" i="10"/>
  <c r="B11" i="10"/>
  <c r="A12" i="10"/>
  <c r="A13" i="10"/>
  <c r="A14" i="10"/>
  <c r="A15" i="10"/>
  <c r="A16" i="10"/>
  <c r="A17" i="10"/>
  <c r="A11" i="10"/>
  <c r="B12" i="7"/>
  <c r="B13" i="7"/>
  <c r="B14" i="7"/>
  <c r="B15" i="7"/>
  <c r="B16" i="7"/>
  <c r="B17" i="7"/>
  <c r="B11" i="7"/>
  <c r="A17" i="7"/>
  <c r="A12" i="7"/>
  <c r="A13" i="7"/>
  <c r="A14" i="7"/>
  <c r="A15" i="7"/>
  <c r="A16" i="7"/>
  <c r="A11" i="7"/>
  <c r="B13" i="4"/>
  <c r="B14" i="4"/>
  <c r="B15" i="4"/>
  <c r="B16" i="4"/>
  <c r="B17" i="4"/>
  <c r="B18" i="4"/>
  <c r="B12" i="4"/>
  <c r="A18" i="4"/>
  <c r="A17" i="4"/>
  <c r="A16" i="4"/>
  <c r="A15" i="4"/>
  <c r="A14" i="4"/>
  <c r="A13" i="4"/>
  <c r="A12" i="4"/>
  <c r="B14" i="1"/>
  <c r="B15" i="1"/>
  <c r="B16" i="1"/>
  <c r="B17" i="1"/>
  <c r="B18" i="1"/>
  <c r="B19" i="1"/>
  <c r="A18" i="1"/>
  <c r="A19" i="1"/>
  <c r="A14" i="1"/>
  <c r="A15" i="1"/>
  <c r="A16" i="1"/>
  <c r="A17" i="1"/>
  <c r="A13" i="1"/>
  <c r="B13" i="1"/>
</calcChain>
</file>

<file path=xl/sharedStrings.xml><?xml version="1.0" encoding="utf-8"?>
<sst xmlns="http://schemas.openxmlformats.org/spreadsheetml/2006/main" count="146" uniqueCount="13">
  <si>
    <t>algorithm</t>
  </si>
  <si>
    <t>swaps</t>
  </si>
  <si>
    <t>checks</t>
  </si>
  <si>
    <t>time_spent</t>
  </si>
  <si>
    <t>k</t>
  </si>
  <si>
    <t>Bubble sorting</t>
  </si>
  <si>
    <t>Improved bubble sorting</t>
  </si>
  <si>
    <t>Shaker sorting</t>
  </si>
  <si>
    <t>Insert sorting</t>
  </si>
  <si>
    <t>shell sorting</t>
  </si>
  <si>
    <t>quick sorting</t>
  </si>
  <si>
    <t>select sorting</t>
  </si>
  <si>
    <t>K10 amount/n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</si>
</sst>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Time for n10_m10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n10_m10!$D$1</c:f>
              <c:strCache>
                <c:ptCount val="1"/>
                <c:pt idx="0">
                  <c:v>time_spent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n10_m10!$A$2:$A$8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n10_m10!$D$2:$D$8</c:f>
              <c:numCache>
                <c:formatCode>General</c:formatCode>
                <c:ptCount val="7"/>
                <c:pt idx="0">
                  <c:v>7.9280998761532828E-6</c:v>
                </c:pt>
                <c:pt idx="1">
                  <c:v>1.8515100236982111E-5</c:v>
                </c:pt>
                <c:pt idx="2">
                  <c:v>1.832409998314688E-5</c:v>
                </c:pt>
                <c:pt idx="3">
                  <c:v>1.2984500790480521E-5</c:v>
                </c:pt>
                <c:pt idx="4">
                  <c:v>1.2240700016263871E-5</c:v>
                </c:pt>
                <c:pt idx="5">
                  <c:v>1.2752799011650499E-5</c:v>
                </c:pt>
                <c:pt idx="6">
                  <c:v>7.7378004789352414E-6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2-4F4E-993D-9E058FD8A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 for n10_m10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n10_m10!$E$1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n10_m10!$A$2:$A$8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n10_m10!$E$2:$E$8</c:f>
              <c:numCache>
                <c:formatCode>General</c:formatCode>
                <c:ptCount val="7"/>
                <c:pt idx="0">
                  <c:v>0.81</c:v>
                </c:pt>
                <c:pt idx="1">
                  <c:v>0.39</c:v>
                </c:pt>
                <c:pt idx="2">
                  <c:v>0.44</c:v>
                </c:pt>
                <c:pt idx="3">
                  <c:v>0.35</c:v>
                </c:pt>
                <c:pt idx="4">
                  <c:v>0.26</c:v>
                </c:pt>
                <c:pt idx="5">
                  <c:v>0.19</c:v>
                </c:pt>
                <c:pt idx="6">
                  <c:v>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5-4254-A13D-5CC195FAE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average of K for n10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n10_m10!$A$13:$A$19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n10_m10!$B$13:$B$19</c:f>
              <c:numCache>
                <c:formatCode>General</c:formatCode>
                <c:ptCount val="7"/>
                <c:pt idx="0">
                  <c:v>0.81</c:v>
                </c:pt>
                <c:pt idx="1">
                  <c:v>0.40666666666666673</c:v>
                </c:pt>
                <c:pt idx="2">
                  <c:v>0.42666666666666669</c:v>
                </c:pt>
                <c:pt idx="3">
                  <c:v>0.32</c:v>
                </c:pt>
                <c:pt idx="4">
                  <c:v>0.27333333333333337</c:v>
                </c:pt>
                <c:pt idx="5">
                  <c:v>0.22666666666666666</c:v>
                </c:pt>
                <c:pt idx="6">
                  <c:v>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13-4D4F-BB0B-C9FC810CF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108912"/>
        <c:axId val="1106099312"/>
      </c:barChart>
      <c:catAx>
        <c:axId val="110610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6099312"/>
        <c:crosses val="autoZero"/>
        <c:auto val="1"/>
        <c:lblAlgn val="ctr"/>
        <c:lblOffset val="100"/>
        <c:noMultiLvlLbl val="0"/>
      </c:catAx>
      <c:valAx>
        <c:axId val="110609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6108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Time for n10_m100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n10_m100!$D$1</c:f>
              <c:strCache>
                <c:ptCount val="1"/>
                <c:pt idx="0">
                  <c:v>time_spent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n10_m100!$A$2:$A$8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n10_m100!$D$2:$D$8</c:f>
              <c:numCache>
                <c:formatCode>General</c:formatCode>
                <c:ptCount val="7"/>
                <c:pt idx="0">
                  <c:v>6.2400999013334516E-6</c:v>
                </c:pt>
                <c:pt idx="1">
                  <c:v>6.4061003286042249E-6</c:v>
                </c:pt>
                <c:pt idx="2">
                  <c:v>6.3299998146248976E-6</c:v>
                </c:pt>
                <c:pt idx="3">
                  <c:v>5.605900150840171E-6</c:v>
                </c:pt>
                <c:pt idx="4">
                  <c:v>5.1369010179769251E-6</c:v>
                </c:pt>
                <c:pt idx="5">
                  <c:v>5.3228002798277883E-6</c:v>
                </c:pt>
                <c:pt idx="6">
                  <c:v>6.7617995227919893E-6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5D-4414-A9E0-F410A95DB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 for n10_m100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n10_m100!$E$1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n10_m100!$A$2:$A$8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n10_m100!$E$2:$E$8</c:f>
              <c:numCache>
                <c:formatCode>General</c:formatCode>
                <c:ptCount val="7"/>
                <c:pt idx="0">
                  <c:v>0.81</c:v>
                </c:pt>
                <c:pt idx="1">
                  <c:v>0.44</c:v>
                </c:pt>
                <c:pt idx="2">
                  <c:v>0.45</c:v>
                </c:pt>
                <c:pt idx="3">
                  <c:v>0.38</c:v>
                </c:pt>
                <c:pt idx="4">
                  <c:v>0.28999999999999998</c:v>
                </c:pt>
                <c:pt idx="5">
                  <c:v>0.2</c:v>
                </c:pt>
                <c:pt idx="6">
                  <c:v>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0B-42CC-ADEA-D698FD271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Time for n10_m1000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n10_m1000!$D$1</c:f>
              <c:strCache>
                <c:ptCount val="1"/>
                <c:pt idx="0">
                  <c:v>time_spent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n10_m1000!$A$2:$A$8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n10_m1000!$D$2:$D$8</c:f>
              <c:numCache>
                <c:formatCode>General</c:formatCode>
                <c:ptCount val="7"/>
                <c:pt idx="0">
                  <c:v>5.7679999372339807E-6</c:v>
                </c:pt>
                <c:pt idx="1">
                  <c:v>5.0689997806330213E-6</c:v>
                </c:pt>
                <c:pt idx="2">
                  <c:v>5.034000423620455E-6</c:v>
                </c:pt>
                <c:pt idx="3">
                  <c:v>3.4699009120231489E-6</c:v>
                </c:pt>
                <c:pt idx="4">
                  <c:v>4.1548999433871357E-6</c:v>
                </c:pt>
                <c:pt idx="5">
                  <c:v>7.2087997978087516E-6</c:v>
                </c:pt>
                <c:pt idx="6">
                  <c:v>5.3588992159347981E-6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93-462F-B492-1D008C48A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 for n10_m1000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n10_m1000!$E$1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n10_m1000!$A$2:$A$8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n10_m1000!$E$2:$E$8</c:f>
              <c:numCache>
                <c:formatCode>General</c:formatCode>
                <c:ptCount val="7"/>
                <c:pt idx="0">
                  <c:v>0.81</c:v>
                </c:pt>
                <c:pt idx="1">
                  <c:v>0.39</c:v>
                </c:pt>
                <c:pt idx="2">
                  <c:v>0.39</c:v>
                </c:pt>
                <c:pt idx="3">
                  <c:v>0.23</c:v>
                </c:pt>
                <c:pt idx="4">
                  <c:v>0.27</c:v>
                </c:pt>
                <c:pt idx="5">
                  <c:v>0.28999999999999998</c:v>
                </c:pt>
                <c:pt idx="6">
                  <c:v>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60-4F55-BAAE-DA7E2C549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Time for n100_m10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n100_m10!$D$1</c:f>
              <c:strCache>
                <c:ptCount val="1"/>
                <c:pt idx="0">
                  <c:v>time_spent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n100_m10!$A$2:$A$8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n100_m10!$D$2:$D$8</c:f>
              <c:numCache>
                <c:formatCode>General</c:formatCode>
                <c:ptCount val="7"/>
                <c:pt idx="0">
                  <c:v>7.0483510025951544E-4</c:v>
                </c:pt>
                <c:pt idx="1">
                  <c:v>6.3523589997203087E-4</c:v>
                </c:pt>
                <c:pt idx="2">
                  <c:v>5.2977549985371302E-4</c:v>
                </c:pt>
                <c:pt idx="3">
                  <c:v>3.8100300007499761E-4</c:v>
                </c:pt>
                <c:pt idx="4">
                  <c:v>9.9392799893394115E-5</c:v>
                </c:pt>
                <c:pt idx="5">
                  <c:v>9.8562800485524352E-5</c:v>
                </c:pt>
                <c:pt idx="6">
                  <c:v>4.0580580098321662E-4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BF-4B56-ADAC-C0BBB6BDE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 for n100_m10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n100_m10!$E$1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n100_m10!$A$2:$A$8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n100_m10!$E$2:$E$8</c:f>
              <c:numCache>
                <c:formatCode>General</c:formatCode>
                <c:ptCount val="7"/>
                <c:pt idx="0">
                  <c:v>0.98009999999999997</c:v>
                </c:pt>
                <c:pt idx="1">
                  <c:v>0.48949999999999999</c:v>
                </c:pt>
                <c:pt idx="2">
                  <c:v>0.39600000000000002</c:v>
                </c:pt>
                <c:pt idx="3">
                  <c:v>0.23630000000000001</c:v>
                </c:pt>
                <c:pt idx="4">
                  <c:v>7.2099999999999997E-2</c:v>
                </c:pt>
                <c:pt idx="5">
                  <c:v>7.9699999999999993E-2</c:v>
                </c:pt>
                <c:pt idx="6">
                  <c:v>0.495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9F-492B-902F-48EE2DEAC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average of K for n100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n100_m10!$A$12:$A$18</c:f>
              <c:strCache>
                <c:ptCount val="7"/>
                <c:pt idx="0">
                  <c:v>algorithm</c:v>
                </c:pt>
                <c:pt idx="1">
                  <c:v>Bubble sorting</c:v>
                </c:pt>
                <c:pt idx="2">
                  <c:v>Improved bubble sorting</c:v>
                </c:pt>
                <c:pt idx="3">
                  <c:v>Shaker sorting</c:v>
                </c:pt>
                <c:pt idx="4">
                  <c:v>Insert sorting</c:v>
                </c:pt>
                <c:pt idx="5">
                  <c:v>shell sorting</c:v>
                </c:pt>
                <c:pt idx="6">
                  <c:v>quick sorting</c:v>
                </c:pt>
              </c:strCache>
            </c:strRef>
          </c:cat>
          <c:val>
            <c:numRef>
              <c:f>n100_m10!$B$12:$B$18</c:f>
              <c:numCache>
                <c:formatCode>General</c:formatCode>
                <c:ptCount val="7"/>
                <c:pt idx="0">
                  <c:v>0.98009999999999986</c:v>
                </c:pt>
                <c:pt idx="1">
                  <c:v>0.48243333333333333</c:v>
                </c:pt>
                <c:pt idx="2">
                  <c:v>0.37866666666666671</c:v>
                </c:pt>
                <c:pt idx="3">
                  <c:v>0.23726666666666665</c:v>
                </c:pt>
                <c:pt idx="4">
                  <c:v>7.9166666666666663E-2</c:v>
                </c:pt>
                <c:pt idx="5">
                  <c:v>6.5100000000000005E-2</c:v>
                </c:pt>
                <c:pt idx="6">
                  <c:v>0.49499999999999994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7C-4A2F-90AB-712E41706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092112"/>
        <c:axId val="1106094512"/>
      </c:barChart>
      <c:catAx>
        <c:axId val="110609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6094512"/>
        <c:crosses val="autoZero"/>
        <c:auto val="1"/>
        <c:lblAlgn val="ctr"/>
        <c:lblOffset val="100"/>
        <c:noMultiLvlLbl val="0"/>
      </c:catAx>
      <c:valAx>
        <c:axId val="110609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6092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Time for n100_m100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n100_m100!$D$1</c:f>
              <c:strCache>
                <c:ptCount val="1"/>
                <c:pt idx="0">
                  <c:v>time_spent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n100_m100!$A$2:$A$8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n100_m100!$D$2:$D$8</c:f>
              <c:numCache>
                <c:formatCode>General</c:formatCode>
                <c:ptCount val="7"/>
                <c:pt idx="0">
                  <c:v>8.6001100007706557E-4</c:v>
                </c:pt>
                <c:pt idx="1">
                  <c:v>6.1895490016468098E-4</c:v>
                </c:pt>
                <c:pt idx="2">
                  <c:v>5.5321660020126731E-4</c:v>
                </c:pt>
                <c:pt idx="3">
                  <c:v>3.6501550021057478E-4</c:v>
                </c:pt>
                <c:pt idx="4">
                  <c:v>1.1646230050246229E-4</c:v>
                </c:pt>
                <c:pt idx="5">
                  <c:v>7.707229997322429E-5</c:v>
                </c:pt>
                <c:pt idx="6">
                  <c:v>5.7653389994811728E-4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29-40AF-9399-91C52BC10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 for n100_m100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n100_m100!$E$1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n100_m100!$A$2:$A$8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n100_m100!$E$2:$E$8</c:f>
              <c:numCache>
                <c:formatCode>General</c:formatCode>
                <c:ptCount val="7"/>
                <c:pt idx="0">
                  <c:v>0.98009999999999997</c:v>
                </c:pt>
                <c:pt idx="1">
                  <c:v>0.47189999999999999</c:v>
                </c:pt>
                <c:pt idx="2">
                  <c:v>0.36749999999999999</c:v>
                </c:pt>
                <c:pt idx="3">
                  <c:v>0.23580000000000001</c:v>
                </c:pt>
                <c:pt idx="4">
                  <c:v>8.0100000000000005E-2</c:v>
                </c:pt>
                <c:pt idx="5">
                  <c:v>5.3900000000000003E-2</c:v>
                </c:pt>
                <c:pt idx="6">
                  <c:v>0.495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E-4F21-96ED-F874BC3F8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Time for n100_m1000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n100_m1000!$D$1</c:f>
              <c:strCache>
                <c:ptCount val="1"/>
                <c:pt idx="0">
                  <c:v>time_spent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n100_m1000!$A$2:$A$8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n100_m1000!$D$2:$D$8</c:f>
              <c:numCache>
                <c:formatCode>General</c:formatCode>
                <c:ptCount val="7"/>
                <c:pt idx="0">
                  <c:v>8.0265170017810303E-4</c:v>
                </c:pt>
                <c:pt idx="1">
                  <c:v>6.1466189945349472E-4</c:v>
                </c:pt>
                <c:pt idx="2">
                  <c:v>5.5786260036256858E-4</c:v>
                </c:pt>
                <c:pt idx="3">
                  <c:v>3.9272459980566049E-4</c:v>
                </c:pt>
                <c:pt idx="4">
                  <c:v>1.187062996905297E-4</c:v>
                </c:pt>
                <c:pt idx="5">
                  <c:v>9.5511800100211983E-5</c:v>
                </c:pt>
                <c:pt idx="6">
                  <c:v>3.0126719902909819E-4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7C-404E-BBA2-2B17706D8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 for n100_m1000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n100_m1000!$E$1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n100_m1000!$A$2:$A$8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n100_m1000!$E$2:$E$8</c:f>
              <c:numCache>
                <c:formatCode>General</c:formatCode>
                <c:ptCount val="7"/>
                <c:pt idx="0">
                  <c:v>0.98009999999999997</c:v>
                </c:pt>
                <c:pt idx="1">
                  <c:v>0.4859</c:v>
                </c:pt>
                <c:pt idx="2">
                  <c:v>0.3725</c:v>
                </c:pt>
                <c:pt idx="3">
                  <c:v>0.2397</c:v>
                </c:pt>
                <c:pt idx="4">
                  <c:v>8.5300000000000001E-2</c:v>
                </c:pt>
                <c:pt idx="5">
                  <c:v>6.1699999999999998E-2</c:v>
                </c:pt>
                <c:pt idx="6">
                  <c:v>0.495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FC-4383-BA0D-011DA2DB4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Time for n1000_m10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n1000_m10!$D$1</c:f>
              <c:strCache>
                <c:ptCount val="1"/>
                <c:pt idx="0">
                  <c:v>time_spent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n1000_m10!$A$2:$A$8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n1000_m10!$D$2:$D$8</c:f>
              <c:numCache>
                <c:formatCode>General</c:formatCode>
                <c:ptCount val="7"/>
                <c:pt idx="0">
                  <c:v>0.1214657984999576</c:v>
                </c:pt>
                <c:pt idx="1">
                  <c:v>8.6518795000120011E-2</c:v>
                </c:pt>
                <c:pt idx="2">
                  <c:v>9.2284867199850851E-2</c:v>
                </c:pt>
                <c:pt idx="3">
                  <c:v>5.5249367201031421E-2</c:v>
                </c:pt>
                <c:pt idx="4">
                  <c:v>2.175881999573903E-3</c:v>
                </c:pt>
                <c:pt idx="5">
                  <c:v>5.9803142004966501E-3</c:v>
                </c:pt>
                <c:pt idx="6">
                  <c:v>4.5535364699389902E-2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3C-42EB-B968-D71E19F4A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 for n1000_m10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n1000_m10!$E$1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n1000_m10!$A$2:$A$8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n1000_m10!$E$2:$E$8</c:f>
              <c:numCache>
                <c:formatCode>General</c:formatCode>
                <c:ptCount val="7"/>
                <c:pt idx="0">
                  <c:v>0.99800100000000003</c:v>
                </c:pt>
                <c:pt idx="1">
                  <c:v>0.49445</c:v>
                </c:pt>
                <c:pt idx="2">
                  <c:v>0.379695</c:v>
                </c:pt>
                <c:pt idx="3">
                  <c:v>0.23141600000000001</c:v>
                </c:pt>
                <c:pt idx="4">
                  <c:v>1.0364999999999999E-2</c:v>
                </c:pt>
                <c:pt idx="5">
                  <c:v>4.9932999999999998E-2</c:v>
                </c:pt>
                <c:pt idx="6">
                  <c:v>0.4995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29-4EF1-AD71-8D08F5FBF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of</a:t>
            </a:r>
            <a:r>
              <a:rPr lang="en-US" baseline="0"/>
              <a:t> K for n1000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n1000_m10!$A$11:$A$17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n1000_m10!$B$11:$B$17</c:f>
              <c:numCache>
                <c:formatCode>General</c:formatCode>
                <c:ptCount val="7"/>
                <c:pt idx="0">
                  <c:v>0.99800100000000003</c:v>
                </c:pt>
                <c:pt idx="1">
                  <c:v>0.49681966666666666</c:v>
                </c:pt>
                <c:pt idx="2">
                  <c:v>0.38425366666666666</c:v>
                </c:pt>
                <c:pt idx="3">
                  <c:v>0.24387600000000001</c:v>
                </c:pt>
                <c:pt idx="4">
                  <c:v>1.2739333333333332E-2</c:v>
                </c:pt>
                <c:pt idx="5">
                  <c:v>2.4309333333333332E-2</c:v>
                </c:pt>
                <c:pt idx="6">
                  <c:v>0.4995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D6-4890-BEF7-5AB513948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086352"/>
        <c:axId val="1106088272"/>
      </c:barChart>
      <c:catAx>
        <c:axId val="110608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6088272"/>
        <c:crosses val="autoZero"/>
        <c:auto val="1"/>
        <c:lblAlgn val="ctr"/>
        <c:lblOffset val="100"/>
        <c:noMultiLvlLbl val="0"/>
      </c:catAx>
      <c:valAx>
        <c:axId val="110608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6086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Time for n1000_m100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n1000_m100!$D$1</c:f>
              <c:strCache>
                <c:ptCount val="1"/>
                <c:pt idx="0">
                  <c:v>time_spent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n1000_m100!$A$2:$A$8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n1000_m100!$D$2:$D$8</c:f>
              <c:numCache>
                <c:formatCode>General</c:formatCode>
                <c:ptCount val="7"/>
                <c:pt idx="0">
                  <c:v>0.13026333179986979</c:v>
                </c:pt>
                <c:pt idx="1">
                  <c:v>9.0396929499911488E-2</c:v>
                </c:pt>
                <c:pt idx="2">
                  <c:v>0.1028969367998798</c:v>
                </c:pt>
                <c:pt idx="3">
                  <c:v>6.1987828799829003E-2</c:v>
                </c:pt>
                <c:pt idx="4">
                  <c:v>3.0271745003119582E-3</c:v>
                </c:pt>
                <c:pt idx="5">
                  <c:v>2.415833800114342E-3</c:v>
                </c:pt>
                <c:pt idx="6">
                  <c:v>4.6341565400143739E-2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ED-49B2-9E52-05DD99B33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 for n1000_m100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n1000_m100!$E$1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n1000_m100!$A$2:$A$8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n1000_m100!$E$2:$E$8</c:f>
              <c:numCache>
                <c:formatCode>General</c:formatCode>
                <c:ptCount val="7"/>
                <c:pt idx="0">
                  <c:v>0.99800100000000003</c:v>
                </c:pt>
                <c:pt idx="1">
                  <c:v>0.49906499999999998</c:v>
                </c:pt>
                <c:pt idx="2">
                  <c:v>0.39981899999999998</c:v>
                </c:pt>
                <c:pt idx="3">
                  <c:v>0.25608700000000001</c:v>
                </c:pt>
                <c:pt idx="4">
                  <c:v>1.2931E-2</c:v>
                </c:pt>
                <c:pt idx="5">
                  <c:v>1.2515999999999999E-2</c:v>
                </c:pt>
                <c:pt idx="6">
                  <c:v>0.4995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61-4552-8964-E4929D878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Time for n1000_m1000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n1000_m1000!$D$1</c:f>
              <c:strCache>
                <c:ptCount val="1"/>
                <c:pt idx="0">
                  <c:v>time_spent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n1000_m1000!$A$2:$A$8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n1000_m1000!$D$2:$D$8</c:f>
              <c:numCache>
                <c:formatCode>General</c:formatCode>
                <c:ptCount val="7"/>
                <c:pt idx="0">
                  <c:v>0.1178979641998012</c:v>
                </c:pt>
                <c:pt idx="1">
                  <c:v>9.0005689000281566E-2</c:v>
                </c:pt>
                <c:pt idx="2">
                  <c:v>9.6287633099927911E-2</c:v>
                </c:pt>
                <c:pt idx="3">
                  <c:v>6.0417407599743463E-2</c:v>
                </c:pt>
                <c:pt idx="4">
                  <c:v>3.536479699687334E-3</c:v>
                </c:pt>
                <c:pt idx="5">
                  <c:v>2.0177268008410459E-3</c:v>
                </c:pt>
                <c:pt idx="6">
                  <c:v>4.5763995399829581E-2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01-4B4F-BBFA-AFDA97549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 for n1000_m1000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n1000_m1000!$E$1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n1000_m1000!$A$2:$A$8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n1000_m1000!$E$2:$E$8</c:f>
              <c:numCache>
                <c:formatCode>General</c:formatCode>
                <c:ptCount val="7"/>
                <c:pt idx="0">
                  <c:v>0.99800100000000003</c:v>
                </c:pt>
                <c:pt idx="1">
                  <c:v>0.496944</c:v>
                </c:pt>
                <c:pt idx="2">
                  <c:v>0.373247</c:v>
                </c:pt>
                <c:pt idx="3">
                  <c:v>0.24412500000000001</c:v>
                </c:pt>
                <c:pt idx="4">
                  <c:v>1.4922E-2</c:v>
                </c:pt>
                <c:pt idx="5">
                  <c:v>1.0479E-2</c:v>
                </c:pt>
                <c:pt idx="6">
                  <c:v>0.4995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8C-4C70-A1DB-2D78E3120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Time for n10000_m10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n10000_m10!$D$1</c:f>
              <c:strCache>
                <c:ptCount val="1"/>
                <c:pt idx="0">
                  <c:v>time_spent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n10000_m10!$A$2:$A$8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n10000_m10!$D$2:$D$8</c:f>
              <c:numCache>
                <c:formatCode>General</c:formatCode>
                <c:ptCount val="7"/>
                <c:pt idx="0">
                  <c:v>14.950942432400369</c:v>
                </c:pt>
                <c:pt idx="1">
                  <c:v>10.436007969700039</c:v>
                </c:pt>
                <c:pt idx="2">
                  <c:v>9.3763043970999203</c:v>
                </c:pt>
                <c:pt idx="3">
                  <c:v>5.9002930952003227</c:v>
                </c:pt>
                <c:pt idx="4">
                  <c:v>3.5570452000320073E-2</c:v>
                </c:pt>
                <c:pt idx="5">
                  <c:v>0.4611257258999103</c:v>
                </c:pt>
                <c:pt idx="6">
                  <c:v>4.8414194755994684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44-4E24-9A0E-3B2486F66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 for n10000_m10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n10000_m10!$E$1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n10000_m10!$A$2:$A$8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n10000_m10!$E$2:$E$8</c:f>
              <c:numCache>
                <c:formatCode>General</c:formatCode>
                <c:ptCount val="7"/>
                <c:pt idx="0">
                  <c:v>0.99980000999999996</c:v>
                </c:pt>
                <c:pt idx="1">
                  <c:v>0.49588649000000001</c:v>
                </c:pt>
                <c:pt idx="2">
                  <c:v>0.37711554000000003</c:v>
                </c:pt>
                <c:pt idx="3">
                  <c:v>0.22873993000000001</c:v>
                </c:pt>
                <c:pt idx="4">
                  <c:v>1.5597199999999999E-3</c:v>
                </c:pt>
                <c:pt idx="5">
                  <c:v>4.584212E-2</c:v>
                </c:pt>
                <c:pt idx="6">
                  <c:v>0.49995000000000001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39-4115-81D2-AA46CC6D3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of </a:t>
            </a:r>
            <a:r>
              <a:rPr lang="en-US"/>
              <a:t>K</a:t>
            </a:r>
            <a:r>
              <a:rPr lang="en-US" baseline="0"/>
              <a:t> for n10_000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9.226159230096237E-2"/>
          <c:y val="0.17171296296296298"/>
          <c:w val="0.8966272965879265"/>
          <c:h val="0.6191743219597550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n10000_m10!$A$11:$A$17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n10000_m10!$B$11:$B$17</c:f>
              <c:numCache>
                <c:formatCode>General</c:formatCode>
                <c:ptCount val="7"/>
                <c:pt idx="0">
                  <c:v>0.99980000999999996</c:v>
                </c:pt>
                <c:pt idx="1">
                  <c:v>0.49855622666666671</c:v>
                </c:pt>
                <c:pt idx="2">
                  <c:v>0.37414826666666667</c:v>
                </c:pt>
                <c:pt idx="3">
                  <c:v>0.23935282000000002</c:v>
                </c:pt>
                <c:pt idx="4">
                  <c:v>2.0497066666666668E-3</c:v>
                </c:pt>
                <c:pt idx="5">
                  <c:v>1.7790986666666665E-2</c:v>
                </c:pt>
                <c:pt idx="6">
                  <c:v>0.49994999999999995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26-4946-9A4A-7A3E14830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110352"/>
        <c:axId val="1106111792"/>
      </c:barChart>
      <c:catAx>
        <c:axId val="1106110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6111792"/>
        <c:crosses val="autoZero"/>
        <c:auto val="1"/>
        <c:lblAlgn val="ctr"/>
        <c:lblOffset val="100"/>
        <c:noMultiLvlLbl val="0"/>
      </c:catAx>
      <c:valAx>
        <c:axId val="110611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611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Time for n10000_m100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n10000_m100!$D$1</c:f>
              <c:strCache>
                <c:ptCount val="1"/>
                <c:pt idx="0">
                  <c:v>time_spent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n10000_m100!$A$2:$A$8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n10000_m100!$D$2:$D$8</c:f>
              <c:numCache>
                <c:formatCode>General</c:formatCode>
                <c:ptCount val="7"/>
                <c:pt idx="0">
                  <c:v>14.690187219900141</c:v>
                </c:pt>
                <c:pt idx="1">
                  <c:v>11.027632106000061</c:v>
                </c:pt>
                <c:pt idx="2">
                  <c:v>9.6379121438998485</c:v>
                </c:pt>
                <c:pt idx="3">
                  <c:v>6.4195911006001554</c:v>
                </c:pt>
                <c:pt idx="4">
                  <c:v>5.2829842699793517E-2</c:v>
                </c:pt>
                <c:pt idx="5">
                  <c:v>6.8512290399667108E-2</c:v>
                </c:pt>
                <c:pt idx="6">
                  <c:v>4.6614618373001573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A3-4C7E-82CC-C197973F7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 for n10000_m100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n10000_m100!$E$1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n10000_m100!$A$2:$A$8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n10000_m100!$E$2:$E$8</c:f>
              <c:numCache>
                <c:formatCode>General</c:formatCode>
                <c:ptCount val="7"/>
                <c:pt idx="0">
                  <c:v>0.99980000999999996</c:v>
                </c:pt>
                <c:pt idx="1">
                  <c:v>0.49986222000000002</c:v>
                </c:pt>
                <c:pt idx="2">
                  <c:v>0.37256371999999999</c:v>
                </c:pt>
                <c:pt idx="3">
                  <c:v>0.24305091000000001</c:v>
                </c:pt>
                <c:pt idx="4">
                  <c:v>2.0503499999999998E-3</c:v>
                </c:pt>
                <c:pt idx="5">
                  <c:v>5.8358699999999999E-3</c:v>
                </c:pt>
                <c:pt idx="6">
                  <c:v>0.49995000000000001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D6-4583-BDDF-00083E22C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Time for n10000_m1000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n10000_m1000!$D$1</c:f>
              <c:strCache>
                <c:ptCount val="1"/>
                <c:pt idx="0">
                  <c:v>time_spent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n10000_m1000!$A$2:$A$8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n10000_m1000!$D$2:$D$8</c:f>
              <c:numCache>
                <c:formatCode>General</c:formatCode>
                <c:ptCount val="7"/>
                <c:pt idx="0">
                  <c:v>17.009120454400179</c:v>
                </c:pt>
                <c:pt idx="1">
                  <c:v>12.26313123519958</c:v>
                </c:pt>
                <c:pt idx="2">
                  <c:v>10.21659272009965</c:v>
                </c:pt>
                <c:pt idx="3">
                  <c:v>6.5821760285005437</c:v>
                </c:pt>
                <c:pt idx="4">
                  <c:v>6.7985348300135223E-2</c:v>
                </c:pt>
                <c:pt idx="5">
                  <c:v>3.2306899899776913E-2</c:v>
                </c:pt>
                <c:pt idx="6">
                  <c:v>4.9254909823004711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39-4358-9056-15B191788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 for n10000_m1000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n10000_m1000!$E$1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n10000_m1000!$A$2:$A$8</c:f>
              <c:strCache>
                <c:ptCount val="7"/>
                <c:pt idx="0">
                  <c:v>Bubble sorting</c:v>
                </c:pt>
                <c:pt idx="1">
                  <c:v>Improved bubble sorting</c:v>
                </c:pt>
                <c:pt idx="2">
                  <c:v>Shaker sorting</c:v>
                </c:pt>
                <c:pt idx="3">
                  <c:v>Insert sorting</c:v>
                </c:pt>
                <c:pt idx="4">
                  <c:v>shell sorting</c:v>
                </c:pt>
                <c:pt idx="5">
                  <c:v>quick sorting</c:v>
                </c:pt>
                <c:pt idx="6">
                  <c:v>select sorting</c:v>
                </c:pt>
              </c:strCache>
            </c:strRef>
          </c:cat>
          <c:val>
            <c:numRef>
              <c:f>n10000_m1000!$E$2:$E$8</c:f>
              <c:numCache>
                <c:formatCode>General</c:formatCode>
                <c:ptCount val="7"/>
                <c:pt idx="0">
                  <c:v>0.99980000999999996</c:v>
                </c:pt>
                <c:pt idx="1">
                  <c:v>0.49991996999999999</c:v>
                </c:pt>
                <c:pt idx="2">
                  <c:v>0.37276554000000001</c:v>
                </c:pt>
                <c:pt idx="3">
                  <c:v>0.24626761999999999</c:v>
                </c:pt>
                <c:pt idx="4">
                  <c:v>2.5390500000000002E-3</c:v>
                </c:pt>
                <c:pt idx="5">
                  <c:v>1.6949700000000001E-3</c:v>
                </c:pt>
                <c:pt idx="6">
                  <c:v>0.49995000000000001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1-4799-8049-27C98B12C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0</xdr:col>
      <xdr:colOff>9525</xdr:colOff>
      <xdr:row>20</xdr:row>
      <xdr:rowOff>61912</xdr:rowOff>
    </xdr:from>
    <xdr:to>
      <xdr:col>3</xdr:col>
      <xdr:colOff>361950</xdr:colOff>
      <xdr:row>34</xdr:row>
      <xdr:rowOff>138112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8D40326D-CF5D-5DD9-4FE6-1218C0BC4E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1</xdr:col>
      <xdr:colOff>33337</xdr:colOff>
      <xdr:row>19</xdr:row>
      <xdr:rowOff>42862</xdr:rowOff>
    </xdr:from>
    <xdr:to>
      <xdr:col>4</xdr:col>
      <xdr:colOff>604837</xdr:colOff>
      <xdr:row>33</xdr:row>
      <xdr:rowOff>119062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CE8F39B-5201-0D6C-E071-3DF8125651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0</xdr:col>
      <xdr:colOff>1538287</xdr:colOff>
      <xdr:row>18</xdr:row>
      <xdr:rowOff>176212</xdr:rowOff>
    </xdr:from>
    <xdr:to>
      <xdr:col>4</xdr:col>
      <xdr:colOff>557212</xdr:colOff>
      <xdr:row>33</xdr:row>
      <xdr:rowOff>61912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DC221B1E-F004-41DE-3571-BB638DCC4F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0</xdr:col>
      <xdr:colOff>0</xdr:colOff>
      <xdr:row>19</xdr:row>
      <xdr:rowOff>42862</xdr:rowOff>
    </xdr:from>
    <xdr:to>
      <xdr:col>3</xdr:col>
      <xdr:colOff>352425</xdr:colOff>
      <xdr:row>33</xdr:row>
      <xdr:rowOff>119062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2CB095D-8A13-95B1-46DC-1571D4F035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opLeftCell="C1" workbookViewId="0">
      <selection activeCell="F17" sqref="F17"/>
    </sheetView>
  </sheetViews>
  <sheetFormatPr defaultRowHeight="15" x14ac:dyDescent="0.25"/>
  <cols>
    <col min="1" max="1" width="23.28515625" bestFit="1" customWidth="1"/>
    <col min="2" max="5" width="20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28</v>
      </c>
      <c r="C2">
        <v>81</v>
      </c>
      <c r="D2">
        <v>7.9280998761532828E-6</v>
      </c>
      <c r="E2">
        <v>0.81</v>
      </c>
    </row>
    <row r="3" spans="1:5" x14ac:dyDescent="0.25">
      <c r="A3" t="s">
        <v>6</v>
      </c>
      <c r="B3">
        <v>28</v>
      </c>
      <c r="C3">
        <v>39</v>
      </c>
      <c r="D3">
        <v>1.8515100236982111E-5</v>
      </c>
      <c r="E3">
        <v>0.39</v>
      </c>
    </row>
    <row r="4" spans="1:5" x14ac:dyDescent="0.25">
      <c r="A4" t="s">
        <v>7</v>
      </c>
      <c r="B4">
        <v>28</v>
      </c>
      <c r="C4">
        <v>44</v>
      </c>
      <c r="D4">
        <v>1.832409998314688E-5</v>
      </c>
      <c r="E4">
        <v>0.44</v>
      </c>
    </row>
    <row r="5" spans="1:5" x14ac:dyDescent="0.25">
      <c r="A5" t="s">
        <v>8</v>
      </c>
      <c r="B5">
        <v>28</v>
      </c>
      <c r="C5">
        <v>35</v>
      </c>
      <c r="D5">
        <v>1.2984500790480521E-5</v>
      </c>
      <c r="E5">
        <v>0.35</v>
      </c>
    </row>
    <row r="6" spans="1:5" x14ac:dyDescent="0.25">
      <c r="A6" t="s">
        <v>9</v>
      </c>
      <c r="B6">
        <v>9</v>
      </c>
      <c r="C6">
        <v>26</v>
      </c>
      <c r="D6">
        <v>1.2240700016263871E-5</v>
      </c>
      <c r="E6">
        <v>0.26</v>
      </c>
    </row>
    <row r="7" spans="1:5" x14ac:dyDescent="0.25">
      <c r="A7" t="s">
        <v>10</v>
      </c>
      <c r="B7">
        <v>12</v>
      </c>
      <c r="C7">
        <v>19</v>
      </c>
      <c r="D7">
        <v>1.2752799011650499E-5</v>
      </c>
      <c r="E7">
        <v>0.19</v>
      </c>
    </row>
    <row r="8" spans="1:5" x14ac:dyDescent="0.25">
      <c r="A8" t="s">
        <v>11</v>
      </c>
      <c r="B8">
        <v>8</v>
      </c>
      <c r="C8">
        <v>45</v>
      </c>
      <c r="D8">
        <v>7.7378004789352414E-6</v>
      </c>
      <c r="E8">
        <v>0.45</v>
      </c>
    </row>
    <row r="12" spans="1:5" x14ac:dyDescent="0.25">
      <c r="A12" t="s">
        <v>12</v>
      </c>
    </row>
    <row r="13" spans="1:5" x14ac:dyDescent="0.25">
      <c r="A13" t="str">
        <f>A2</f>
        <v>Bubble sorting</v>
      </c>
      <c r="B13">
        <f>(E2+n10_m100!E2+n10_m1000!E2)/3</f>
        <v>0.81</v>
      </c>
    </row>
    <row r="14" spans="1:5" x14ac:dyDescent="0.25">
      <c r="A14" t="str">
        <f t="shared" ref="A14:A19" si="0">A3</f>
        <v>Improved bubble sorting</v>
      </c>
      <c r="B14">
        <f>(E3+n10_m100!E3+n10_m1000!E3)/3</f>
        <v>0.40666666666666673</v>
      </c>
    </row>
    <row r="15" spans="1:5" x14ac:dyDescent="0.25">
      <c r="A15" t="str">
        <f t="shared" si="0"/>
        <v>Shaker sorting</v>
      </c>
      <c r="B15">
        <f>(E4+n10_m100!E4+n10_m1000!E4)/3</f>
        <v>0.42666666666666669</v>
      </c>
    </row>
    <row r="16" spans="1:5" x14ac:dyDescent="0.25">
      <c r="A16" t="str">
        <f t="shared" si="0"/>
        <v>Insert sorting</v>
      </c>
      <c r="B16">
        <f>(E5+n10_m100!E5+n10_m1000!E5)/3</f>
        <v>0.32</v>
      </c>
    </row>
    <row r="17" spans="1:2" x14ac:dyDescent="0.25">
      <c r="A17" t="str">
        <f t="shared" si="0"/>
        <v>shell sorting</v>
      </c>
      <c r="B17">
        <f>(E6+n10_m100!E6+n10_m1000!E6)/3</f>
        <v>0.27333333333333337</v>
      </c>
    </row>
    <row r="18" spans="1:2" x14ac:dyDescent="0.25">
      <c r="A18" t="str">
        <f>A7</f>
        <v>quick sorting</v>
      </c>
      <c r="B18">
        <f>(E7+n10_m100!E7+n10_m1000!E7)/3</f>
        <v>0.22666666666666666</v>
      </c>
    </row>
    <row r="19" spans="1:2" x14ac:dyDescent="0.25">
      <c r="A19" t="str">
        <f t="shared" si="0"/>
        <v>select sorting</v>
      </c>
      <c r="B19">
        <f>(E8+n10_m100!E8+n10_m1000!E8)/3</f>
        <v>0.45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defaultRowHeight="15" x14ac:dyDescent="0.25"/>
  <cols>
    <col min="1" max="5" width="20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31</v>
      </c>
      <c r="C2">
        <v>81</v>
      </c>
      <c r="D2">
        <v>6.2400999013334516E-6</v>
      </c>
      <c r="E2">
        <v>0.81</v>
      </c>
    </row>
    <row r="3" spans="1:5" x14ac:dyDescent="0.25">
      <c r="A3" t="s">
        <v>6</v>
      </c>
      <c r="B3">
        <v>31</v>
      </c>
      <c r="C3">
        <v>44</v>
      </c>
      <c r="D3">
        <v>6.4061003286042249E-6</v>
      </c>
      <c r="E3">
        <v>0.44</v>
      </c>
    </row>
    <row r="4" spans="1:5" x14ac:dyDescent="0.25">
      <c r="A4" t="s">
        <v>7</v>
      </c>
      <c r="B4">
        <v>31</v>
      </c>
      <c r="C4">
        <v>45</v>
      </c>
      <c r="D4">
        <v>6.3299998146248976E-6</v>
      </c>
      <c r="E4">
        <v>0.45</v>
      </c>
    </row>
    <row r="5" spans="1:5" x14ac:dyDescent="0.25">
      <c r="A5" t="s">
        <v>8</v>
      </c>
      <c r="B5">
        <v>31</v>
      </c>
      <c r="C5">
        <v>38</v>
      </c>
      <c r="D5">
        <v>5.605900150840171E-6</v>
      </c>
      <c r="E5">
        <v>0.38</v>
      </c>
    </row>
    <row r="6" spans="1:5" x14ac:dyDescent="0.25">
      <c r="A6" t="s">
        <v>9</v>
      </c>
      <c r="B6">
        <v>13</v>
      </c>
      <c r="C6">
        <v>29</v>
      </c>
      <c r="D6">
        <v>5.1369010179769251E-6</v>
      </c>
      <c r="E6">
        <v>0.28999999999999998</v>
      </c>
    </row>
    <row r="7" spans="1:5" x14ac:dyDescent="0.25">
      <c r="A7" t="s">
        <v>10</v>
      </c>
      <c r="B7">
        <v>15</v>
      </c>
      <c r="C7">
        <v>20</v>
      </c>
      <c r="D7">
        <v>5.3228002798277883E-6</v>
      </c>
      <c r="E7">
        <v>0.2</v>
      </c>
    </row>
    <row r="8" spans="1:5" x14ac:dyDescent="0.25">
      <c r="A8" t="s">
        <v>11</v>
      </c>
      <c r="B8">
        <v>7</v>
      </c>
      <c r="C8">
        <v>45</v>
      </c>
      <c r="D8">
        <v>6.7617995227919893E-6</v>
      </c>
      <c r="E8">
        <v>0.45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defaultRowHeight="15" x14ac:dyDescent="0.25"/>
  <cols>
    <col min="1" max="5" width="20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16</v>
      </c>
      <c r="C2">
        <v>81</v>
      </c>
      <c r="D2">
        <v>5.7679999372339807E-6</v>
      </c>
      <c r="E2">
        <v>0.81</v>
      </c>
    </row>
    <row r="3" spans="1:5" x14ac:dyDescent="0.25">
      <c r="A3" t="s">
        <v>6</v>
      </c>
      <c r="B3">
        <v>16</v>
      </c>
      <c r="C3">
        <v>39</v>
      </c>
      <c r="D3">
        <v>5.0689997806330213E-6</v>
      </c>
      <c r="E3">
        <v>0.39</v>
      </c>
    </row>
    <row r="4" spans="1:5" x14ac:dyDescent="0.25">
      <c r="A4" t="s">
        <v>7</v>
      </c>
      <c r="B4">
        <v>16</v>
      </c>
      <c r="C4">
        <v>39</v>
      </c>
      <c r="D4">
        <v>5.034000423620455E-6</v>
      </c>
      <c r="E4">
        <v>0.39</v>
      </c>
    </row>
    <row r="5" spans="1:5" x14ac:dyDescent="0.25">
      <c r="A5" t="s">
        <v>8</v>
      </c>
      <c r="B5">
        <v>16</v>
      </c>
      <c r="C5">
        <v>23</v>
      </c>
      <c r="D5">
        <v>3.4699009120231489E-6</v>
      </c>
      <c r="E5">
        <v>0.23</v>
      </c>
    </row>
    <row r="6" spans="1:5" x14ac:dyDescent="0.25">
      <c r="A6" t="s">
        <v>9</v>
      </c>
      <c r="B6">
        <v>8</v>
      </c>
      <c r="C6">
        <v>27</v>
      </c>
      <c r="D6">
        <v>4.1548999433871357E-6</v>
      </c>
      <c r="E6">
        <v>0.27</v>
      </c>
    </row>
    <row r="7" spans="1:5" x14ac:dyDescent="0.25">
      <c r="A7" t="s">
        <v>10</v>
      </c>
      <c r="B7">
        <v>29</v>
      </c>
      <c r="C7">
        <v>29</v>
      </c>
      <c r="D7">
        <v>7.2087997978087516E-6</v>
      </c>
      <c r="E7">
        <v>0.28999999999999998</v>
      </c>
    </row>
    <row r="8" spans="1:5" x14ac:dyDescent="0.25">
      <c r="A8" t="s">
        <v>11</v>
      </c>
      <c r="B8">
        <v>6</v>
      </c>
      <c r="C8">
        <v>45</v>
      </c>
      <c r="D8">
        <v>5.3588992159347981E-6</v>
      </c>
      <c r="E8">
        <v>0.45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8"/>
  <sheetViews>
    <sheetView topLeftCell="A4" workbookViewId="0">
      <selection activeCell="F20" sqref="F20"/>
    </sheetView>
  </sheetViews>
  <sheetFormatPr defaultRowHeight="15" x14ac:dyDescent="0.25"/>
  <cols>
    <col min="1" max="1" width="23.28515625" bestFit="1" customWidth="1"/>
    <col min="2" max="5" width="20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2265</v>
      </c>
      <c r="C2">
        <v>9801</v>
      </c>
      <c r="D2">
        <v>7.0483510025951544E-4</v>
      </c>
      <c r="E2">
        <v>0.98009999999999997</v>
      </c>
    </row>
    <row r="3" spans="1:5" x14ac:dyDescent="0.25">
      <c r="A3" t="s">
        <v>6</v>
      </c>
      <c r="B3">
        <v>2265</v>
      </c>
      <c r="C3">
        <v>4895</v>
      </c>
      <c r="D3">
        <v>6.3523589997203087E-4</v>
      </c>
      <c r="E3">
        <v>0.48949999999999999</v>
      </c>
    </row>
    <row r="4" spans="1:5" x14ac:dyDescent="0.25">
      <c r="A4" t="s">
        <v>7</v>
      </c>
      <c r="B4">
        <v>2265</v>
      </c>
      <c r="C4">
        <v>3960</v>
      </c>
      <c r="D4">
        <v>5.2977549985371302E-4</v>
      </c>
      <c r="E4">
        <v>0.39600000000000002</v>
      </c>
    </row>
    <row r="5" spans="1:5" x14ac:dyDescent="0.25">
      <c r="A5" t="s">
        <v>8</v>
      </c>
      <c r="B5">
        <v>2265</v>
      </c>
      <c r="C5">
        <v>2363</v>
      </c>
      <c r="D5">
        <v>3.8100300007499761E-4</v>
      </c>
      <c r="E5">
        <v>0.23630000000000001</v>
      </c>
    </row>
    <row r="6" spans="1:5" x14ac:dyDescent="0.25">
      <c r="A6" t="s">
        <v>9</v>
      </c>
      <c r="B6">
        <v>257</v>
      </c>
      <c r="C6">
        <v>721</v>
      </c>
      <c r="D6">
        <v>9.9392799893394115E-5</v>
      </c>
      <c r="E6">
        <v>7.2099999999999997E-2</v>
      </c>
    </row>
    <row r="7" spans="1:5" x14ac:dyDescent="0.25">
      <c r="A7" t="s">
        <v>10</v>
      </c>
      <c r="B7">
        <v>292</v>
      </c>
      <c r="C7">
        <v>797</v>
      </c>
      <c r="D7">
        <v>9.8562800485524352E-5</v>
      </c>
      <c r="E7">
        <v>7.9699999999999993E-2</v>
      </c>
    </row>
    <row r="8" spans="1:5" x14ac:dyDescent="0.25">
      <c r="A8" t="s">
        <v>11</v>
      </c>
      <c r="B8">
        <v>86</v>
      </c>
      <c r="C8">
        <v>4950</v>
      </c>
      <c r="D8">
        <v>4.0580580098321662E-4</v>
      </c>
      <c r="E8">
        <v>0.495</v>
      </c>
    </row>
    <row r="11" spans="1:5" x14ac:dyDescent="0.25">
      <c r="A11" t="s">
        <v>12</v>
      </c>
    </row>
    <row r="12" spans="1:5" x14ac:dyDescent="0.25">
      <c r="A12" t="str">
        <f>A1</f>
        <v>algorithm</v>
      </c>
      <c r="B12">
        <f>(E2+n100_m100!E2+n100_m1000!E2)/3</f>
        <v>0.98009999999999986</v>
      </c>
    </row>
    <row r="13" spans="1:5" x14ac:dyDescent="0.25">
      <c r="A13" t="str">
        <f t="shared" ref="A13:A18" si="0">A2</f>
        <v>Bubble sorting</v>
      </c>
      <c r="B13">
        <f>(E3+n100_m100!E3+n100_m1000!E3)/3</f>
        <v>0.48243333333333333</v>
      </c>
    </row>
    <row r="14" spans="1:5" x14ac:dyDescent="0.25">
      <c r="A14" t="str">
        <f t="shared" si="0"/>
        <v>Improved bubble sorting</v>
      </c>
      <c r="B14">
        <f>(E4+n100_m100!E4+n100_m1000!E4)/3</f>
        <v>0.37866666666666671</v>
      </c>
    </row>
    <row r="15" spans="1:5" x14ac:dyDescent="0.25">
      <c r="A15" t="str">
        <f t="shared" si="0"/>
        <v>Shaker sorting</v>
      </c>
      <c r="B15">
        <f>(E5+n100_m100!E5+n100_m1000!E5)/3</f>
        <v>0.23726666666666665</v>
      </c>
    </row>
    <row r="16" spans="1:5" x14ac:dyDescent="0.25">
      <c r="A16" t="str">
        <f t="shared" si="0"/>
        <v>Insert sorting</v>
      </c>
      <c r="B16">
        <f>(E6+n100_m100!E6+n100_m1000!E6)/3</f>
        <v>7.9166666666666663E-2</v>
      </c>
    </row>
    <row r="17" spans="1:2" x14ac:dyDescent="0.25">
      <c r="A17" t="str">
        <f>A6</f>
        <v>shell sorting</v>
      </c>
      <c r="B17">
        <f>(E7+n100_m100!E7+n100_m1000!E7)/3</f>
        <v>6.5100000000000005E-2</v>
      </c>
    </row>
    <row r="18" spans="1:2" x14ac:dyDescent="0.25">
      <c r="A18" t="str">
        <f t="shared" si="0"/>
        <v>quick sorting</v>
      </c>
      <c r="B18">
        <f>(E8+n100_m100!E8+n100_m1000!E8)/3</f>
        <v>0.49499999999999994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/>
  </sheetViews>
  <sheetFormatPr defaultRowHeight="15" x14ac:dyDescent="0.25"/>
  <cols>
    <col min="1" max="5" width="20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2262</v>
      </c>
      <c r="C2">
        <v>9801</v>
      </c>
      <c r="D2">
        <v>8.6001100007706557E-4</v>
      </c>
      <c r="E2">
        <v>0.98009999999999997</v>
      </c>
    </row>
    <row r="3" spans="1:5" x14ac:dyDescent="0.25">
      <c r="A3" t="s">
        <v>6</v>
      </c>
      <c r="B3">
        <v>2262</v>
      </c>
      <c r="C3">
        <v>4719</v>
      </c>
      <c r="D3">
        <v>6.1895490016468098E-4</v>
      </c>
      <c r="E3">
        <v>0.47189999999999999</v>
      </c>
    </row>
    <row r="4" spans="1:5" x14ac:dyDescent="0.25">
      <c r="A4" t="s">
        <v>7</v>
      </c>
      <c r="B4">
        <v>2262</v>
      </c>
      <c r="C4">
        <v>3675</v>
      </c>
      <c r="D4">
        <v>5.5321660020126731E-4</v>
      </c>
      <c r="E4">
        <v>0.36749999999999999</v>
      </c>
    </row>
    <row r="5" spans="1:5" x14ac:dyDescent="0.25">
      <c r="A5" t="s">
        <v>8</v>
      </c>
      <c r="B5">
        <v>2262</v>
      </c>
      <c r="C5">
        <v>2358</v>
      </c>
      <c r="D5">
        <v>3.6501550021057478E-4</v>
      </c>
      <c r="E5">
        <v>0.23580000000000001</v>
      </c>
    </row>
    <row r="6" spans="1:5" x14ac:dyDescent="0.25">
      <c r="A6" t="s">
        <v>9</v>
      </c>
      <c r="B6">
        <v>351</v>
      </c>
      <c r="C6">
        <v>801</v>
      </c>
      <c r="D6">
        <v>1.1646230050246229E-4</v>
      </c>
      <c r="E6">
        <v>8.0100000000000005E-2</v>
      </c>
    </row>
    <row r="7" spans="1:5" x14ac:dyDescent="0.25">
      <c r="A7" t="s">
        <v>10</v>
      </c>
      <c r="B7">
        <v>283</v>
      </c>
      <c r="C7">
        <v>539</v>
      </c>
      <c r="D7">
        <v>7.707229997322429E-5</v>
      </c>
      <c r="E7">
        <v>5.3900000000000003E-2</v>
      </c>
    </row>
    <row r="8" spans="1:5" x14ac:dyDescent="0.25">
      <c r="A8" t="s">
        <v>11</v>
      </c>
      <c r="B8">
        <v>95</v>
      </c>
      <c r="C8">
        <v>4950</v>
      </c>
      <c r="D8">
        <v>5.7653389994811728E-4</v>
      </c>
      <c r="E8">
        <v>0.495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tabSelected="1" topLeftCell="D1" workbookViewId="0"/>
  </sheetViews>
  <sheetFormatPr defaultRowHeight="15" x14ac:dyDescent="0.25"/>
  <cols>
    <col min="1" max="5" width="20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2299</v>
      </c>
      <c r="C2">
        <v>9801</v>
      </c>
      <c r="D2">
        <v>8.0265170017810303E-4</v>
      </c>
      <c r="E2">
        <v>0.98009999999999997</v>
      </c>
    </row>
    <row r="3" spans="1:5" x14ac:dyDescent="0.25">
      <c r="A3" t="s">
        <v>6</v>
      </c>
      <c r="B3">
        <v>2299</v>
      </c>
      <c r="C3">
        <v>4859</v>
      </c>
      <c r="D3">
        <v>6.1466189945349472E-4</v>
      </c>
      <c r="E3">
        <v>0.4859</v>
      </c>
    </row>
    <row r="4" spans="1:5" x14ac:dyDescent="0.25">
      <c r="A4" t="s">
        <v>7</v>
      </c>
      <c r="B4">
        <v>2299</v>
      </c>
      <c r="C4">
        <v>3725</v>
      </c>
      <c r="D4">
        <v>5.5786260036256858E-4</v>
      </c>
      <c r="E4">
        <v>0.3725</v>
      </c>
    </row>
    <row r="5" spans="1:5" x14ac:dyDescent="0.25">
      <c r="A5" t="s">
        <v>8</v>
      </c>
      <c r="B5">
        <v>2299</v>
      </c>
      <c r="C5">
        <v>2397</v>
      </c>
      <c r="D5">
        <v>3.9272459980566049E-4</v>
      </c>
      <c r="E5">
        <v>0.2397</v>
      </c>
    </row>
    <row r="6" spans="1:5" x14ac:dyDescent="0.25">
      <c r="A6" t="s">
        <v>9</v>
      </c>
      <c r="B6">
        <v>393</v>
      </c>
      <c r="C6">
        <v>853</v>
      </c>
      <c r="D6">
        <v>1.187062996905297E-4</v>
      </c>
      <c r="E6">
        <v>8.5300000000000001E-2</v>
      </c>
    </row>
    <row r="7" spans="1:5" x14ac:dyDescent="0.25">
      <c r="A7" t="s">
        <v>10</v>
      </c>
      <c r="B7">
        <v>421</v>
      </c>
      <c r="C7">
        <v>617</v>
      </c>
      <c r="D7">
        <v>9.5511800100211983E-5</v>
      </c>
      <c r="E7">
        <v>6.1699999999999998E-2</v>
      </c>
    </row>
    <row r="8" spans="1:5" x14ac:dyDescent="0.25">
      <c r="A8" t="s">
        <v>11</v>
      </c>
      <c r="B8">
        <v>95</v>
      </c>
      <c r="C8">
        <v>4950</v>
      </c>
      <c r="D8">
        <v>3.0126719902909819E-4</v>
      </c>
      <c r="E8">
        <v>0.495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7"/>
  <sheetViews>
    <sheetView topLeftCell="A4" workbookViewId="0">
      <selection activeCell="F23" sqref="F23"/>
    </sheetView>
  </sheetViews>
  <sheetFormatPr defaultRowHeight="15" x14ac:dyDescent="0.25"/>
  <cols>
    <col min="1" max="1" width="23.28515625" bestFit="1" customWidth="1"/>
    <col min="2" max="5" width="20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230417</v>
      </c>
      <c r="C2">
        <v>998001</v>
      </c>
      <c r="D2">
        <v>0.1214657984999576</v>
      </c>
      <c r="E2">
        <v>0.99800100000000003</v>
      </c>
    </row>
    <row r="3" spans="1:5" x14ac:dyDescent="0.25">
      <c r="A3" t="s">
        <v>6</v>
      </c>
      <c r="B3">
        <v>230417</v>
      </c>
      <c r="C3">
        <v>494450</v>
      </c>
      <c r="D3">
        <v>8.6518795000120011E-2</v>
      </c>
      <c r="E3">
        <v>0.49445</v>
      </c>
    </row>
    <row r="4" spans="1:5" x14ac:dyDescent="0.25">
      <c r="A4" t="s">
        <v>7</v>
      </c>
      <c r="B4">
        <v>230417</v>
      </c>
      <c r="C4">
        <v>379695</v>
      </c>
      <c r="D4">
        <v>9.2284867199850851E-2</v>
      </c>
      <c r="E4">
        <v>0.379695</v>
      </c>
    </row>
    <row r="5" spans="1:5" x14ac:dyDescent="0.25">
      <c r="A5" t="s">
        <v>8</v>
      </c>
      <c r="B5">
        <v>230417</v>
      </c>
      <c r="C5">
        <v>231416</v>
      </c>
      <c r="D5">
        <v>5.5249367201031421E-2</v>
      </c>
      <c r="E5">
        <v>0.23141600000000001</v>
      </c>
    </row>
    <row r="6" spans="1:5" x14ac:dyDescent="0.25">
      <c r="A6" t="s">
        <v>9</v>
      </c>
      <c r="B6">
        <v>2787</v>
      </c>
      <c r="C6">
        <v>10365</v>
      </c>
      <c r="D6">
        <v>2.175881999573903E-3</v>
      </c>
      <c r="E6">
        <v>1.0364999999999999E-2</v>
      </c>
    </row>
    <row r="7" spans="1:5" x14ac:dyDescent="0.25">
      <c r="A7" t="s">
        <v>10</v>
      </c>
      <c r="B7">
        <v>3197</v>
      </c>
      <c r="C7">
        <v>49933</v>
      </c>
      <c r="D7">
        <v>5.9803142004966501E-3</v>
      </c>
      <c r="E7">
        <v>4.9932999999999998E-2</v>
      </c>
    </row>
    <row r="8" spans="1:5" x14ac:dyDescent="0.25">
      <c r="A8" t="s">
        <v>11</v>
      </c>
      <c r="B8">
        <v>912</v>
      </c>
      <c r="C8">
        <v>499500</v>
      </c>
      <c r="D8">
        <v>4.5535364699389902E-2</v>
      </c>
      <c r="E8">
        <v>0.4995</v>
      </c>
    </row>
    <row r="11" spans="1:5" x14ac:dyDescent="0.25">
      <c r="A11" t="str">
        <f>A2</f>
        <v>Bubble sorting</v>
      </c>
      <c r="B11">
        <f>(E2+n1000_m100!E2+n1000_m1000!E2)/3</f>
        <v>0.99800100000000003</v>
      </c>
    </row>
    <row r="12" spans="1:5" x14ac:dyDescent="0.25">
      <c r="A12" t="str">
        <f t="shared" ref="A12:A16" si="0">A3</f>
        <v>Improved bubble sorting</v>
      </c>
      <c r="B12">
        <f>(E3+n1000_m100!E3+n1000_m1000!E3)/3</f>
        <v>0.49681966666666666</v>
      </c>
    </row>
    <row r="13" spans="1:5" x14ac:dyDescent="0.25">
      <c r="A13" t="str">
        <f t="shared" si="0"/>
        <v>Shaker sorting</v>
      </c>
      <c r="B13">
        <f>(E4+n1000_m100!E4+n1000_m1000!E4)/3</f>
        <v>0.38425366666666666</v>
      </c>
    </row>
    <row r="14" spans="1:5" x14ac:dyDescent="0.25">
      <c r="A14" t="str">
        <f t="shared" si="0"/>
        <v>Insert sorting</v>
      </c>
      <c r="B14">
        <f>(E5+n1000_m100!E5+n1000_m1000!E5)/3</f>
        <v>0.24387600000000001</v>
      </c>
    </row>
    <row r="15" spans="1:5" x14ac:dyDescent="0.25">
      <c r="A15" t="str">
        <f t="shared" si="0"/>
        <v>shell sorting</v>
      </c>
      <c r="B15">
        <f>(E6+n1000_m100!E6+n1000_m1000!E6)/3</f>
        <v>1.2739333333333332E-2</v>
      </c>
    </row>
    <row r="16" spans="1:5" x14ac:dyDescent="0.25">
      <c r="A16" t="str">
        <f t="shared" si="0"/>
        <v>quick sorting</v>
      </c>
      <c r="B16">
        <f>(E7+n1000_m100!E7+n1000_m1000!E7)/3</f>
        <v>2.4309333333333332E-2</v>
      </c>
    </row>
    <row r="17" spans="1:2" x14ac:dyDescent="0.25">
      <c r="A17" t="str">
        <f>A8</f>
        <v>select sorting</v>
      </c>
      <c r="B17">
        <f>(E8+n1000_m100!E8+n1000_m1000!E8)/3</f>
        <v>0.4995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defaultRowHeight="15" x14ac:dyDescent="0.25"/>
  <cols>
    <col min="1" max="5" width="20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255093</v>
      </c>
      <c r="C2">
        <v>998001</v>
      </c>
      <c r="D2">
        <v>0.13026333179986979</v>
      </c>
      <c r="E2">
        <v>0.99800100000000003</v>
      </c>
    </row>
    <row r="3" spans="1:5" x14ac:dyDescent="0.25">
      <c r="A3" t="s">
        <v>6</v>
      </c>
      <c r="B3">
        <v>255093</v>
      </c>
      <c r="C3">
        <v>499065</v>
      </c>
      <c r="D3">
        <v>9.0396929499911488E-2</v>
      </c>
      <c r="E3">
        <v>0.49906499999999998</v>
      </c>
    </row>
    <row r="4" spans="1:5" x14ac:dyDescent="0.25">
      <c r="A4" t="s">
        <v>7</v>
      </c>
      <c r="B4">
        <v>255093</v>
      </c>
      <c r="C4">
        <v>399819</v>
      </c>
      <c r="D4">
        <v>0.1028969367998798</v>
      </c>
      <c r="E4">
        <v>0.39981899999999998</v>
      </c>
    </row>
    <row r="5" spans="1:5" x14ac:dyDescent="0.25">
      <c r="A5" t="s">
        <v>8</v>
      </c>
      <c r="B5">
        <v>255093</v>
      </c>
      <c r="C5">
        <v>256087</v>
      </c>
      <c r="D5">
        <v>6.1987828799829003E-2</v>
      </c>
      <c r="E5">
        <v>0.25608700000000001</v>
      </c>
    </row>
    <row r="6" spans="1:5" x14ac:dyDescent="0.25">
      <c r="A6" t="s">
        <v>9</v>
      </c>
      <c r="B6">
        <v>5443</v>
      </c>
      <c r="C6">
        <v>12931</v>
      </c>
      <c r="D6">
        <v>3.0271745003119582E-3</v>
      </c>
      <c r="E6">
        <v>1.2931E-2</v>
      </c>
    </row>
    <row r="7" spans="1:5" x14ac:dyDescent="0.25">
      <c r="A7" t="s">
        <v>10</v>
      </c>
      <c r="B7">
        <v>4762</v>
      </c>
      <c r="C7">
        <v>12516</v>
      </c>
      <c r="D7">
        <v>2.415833800114342E-3</v>
      </c>
      <c r="E7">
        <v>1.2515999999999999E-2</v>
      </c>
    </row>
    <row r="8" spans="1:5" x14ac:dyDescent="0.25">
      <c r="A8" t="s">
        <v>11</v>
      </c>
      <c r="B8">
        <v>983</v>
      </c>
      <c r="C8">
        <v>499500</v>
      </c>
      <c r="D8">
        <v>4.6341565400143739E-2</v>
      </c>
      <c r="E8">
        <v>0.4995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workbookViewId="0"/>
  </sheetViews>
  <sheetFormatPr defaultRowHeight="15" x14ac:dyDescent="0.25"/>
  <cols>
    <col min="1" max="5" width="20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243131</v>
      </c>
      <c r="C2">
        <v>998001</v>
      </c>
      <c r="D2">
        <v>0.1178979641998012</v>
      </c>
      <c r="E2">
        <v>0.99800100000000003</v>
      </c>
    </row>
    <row r="3" spans="1:5" x14ac:dyDescent="0.25">
      <c r="A3" t="s">
        <v>6</v>
      </c>
      <c r="B3">
        <v>243131</v>
      </c>
      <c r="C3">
        <v>496944</v>
      </c>
      <c r="D3">
        <v>9.0005689000281566E-2</v>
      </c>
      <c r="E3">
        <v>0.496944</v>
      </c>
    </row>
    <row r="4" spans="1:5" x14ac:dyDescent="0.25">
      <c r="A4" t="s">
        <v>7</v>
      </c>
      <c r="B4">
        <v>243131</v>
      </c>
      <c r="C4">
        <v>373247</v>
      </c>
      <c r="D4">
        <v>9.6287633099927911E-2</v>
      </c>
      <c r="E4">
        <v>0.373247</v>
      </c>
    </row>
    <row r="5" spans="1:5" x14ac:dyDescent="0.25">
      <c r="A5" t="s">
        <v>8</v>
      </c>
      <c r="B5">
        <v>243131</v>
      </c>
      <c r="C5">
        <v>244125</v>
      </c>
      <c r="D5">
        <v>6.0417407599743463E-2</v>
      </c>
      <c r="E5">
        <v>0.24412500000000001</v>
      </c>
    </row>
    <row r="6" spans="1:5" x14ac:dyDescent="0.25">
      <c r="A6" t="s">
        <v>9</v>
      </c>
      <c r="B6">
        <v>7402</v>
      </c>
      <c r="C6">
        <v>14922</v>
      </c>
      <c r="D6">
        <v>3.536479699687334E-3</v>
      </c>
      <c r="E6">
        <v>1.4922E-2</v>
      </c>
    </row>
    <row r="7" spans="1:5" x14ac:dyDescent="0.25">
      <c r="A7" t="s">
        <v>10</v>
      </c>
      <c r="B7">
        <v>5348</v>
      </c>
      <c r="C7">
        <v>10479</v>
      </c>
      <c r="D7">
        <v>2.0177268008410459E-3</v>
      </c>
      <c r="E7">
        <v>1.0479E-2</v>
      </c>
    </row>
    <row r="8" spans="1:5" x14ac:dyDescent="0.25">
      <c r="A8" t="s">
        <v>11</v>
      </c>
      <c r="B8">
        <v>995</v>
      </c>
      <c r="C8">
        <v>499500</v>
      </c>
      <c r="D8">
        <v>4.5763995399829581E-2</v>
      </c>
      <c r="E8">
        <v>0.4995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7"/>
  <sheetViews>
    <sheetView workbookViewId="0">
      <selection activeCell="E21" sqref="E21"/>
    </sheetView>
  </sheetViews>
  <sheetFormatPr defaultRowHeight="15" x14ac:dyDescent="0.25"/>
  <cols>
    <col min="1" max="1" width="23.28515625" bestFit="1" customWidth="1"/>
    <col min="2" max="5" width="20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22863997</v>
      </c>
      <c r="C2">
        <v>99980001</v>
      </c>
      <c r="D2">
        <v>14.950942432400369</v>
      </c>
      <c r="E2">
        <v>0.99980000999999996</v>
      </c>
    </row>
    <row r="3" spans="1:5" x14ac:dyDescent="0.25">
      <c r="A3" t="s">
        <v>6</v>
      </c>
      <c r="B3">
        <v>22863997</v>
      </c>
      <c r="C3">
        <v>49588649</v>
      </c>
      <c r="D3">
        <v>10.436007969700039</v>
      </c>
      <c r="E3">
        <v>0.49588649000000001</v>
      </c>
    </row>
    <row r="4" spans="1:5" x14ac:dyDescent="0.25">
      <c r="A4" t="s">
        <v>7</v>
      </c>
      <c r="B4">
        <v>22863997</v>
      </c>
      <c r="C4">
        <v>37711554</v>
      </c>
      <c r="D4">
        <v>9.3763043970999203</v>
      </c>
      <c r="E4">
        <v>0.37711554000000003</v>
      </c>
    </row>
    <row r="5" spans="1:5" x14ac:dyDescent="0.25">
      <c r="A5" t="s">
        <v>8</v>
      </c>
      <c r="B5">
        <v>22863997</v>
      </c>
      <c r="C5">
        <v>22873993</v>
      </c>
      <c r="D5">
        <v>5.9002930952003227</v>
      </c>
      <c r="E5">
        <v>0.22873993000000001</v>
      </c>
    </row>
    <row r="6" spans="1:5" x14ac:dyDescent="0.25">
      <c r="A6" t="s">
        <v>9</v>
      </c>
      <c r="B6">
        <v>40093</v>
      </c>
      <c r="C6">
        <v>155972</v>
      </c>
      <c r="D6">
        <v>3.5570452000320073E-2</v>
      </c>
      <c r="E6">
        <v>1.5597199999999999E-3</v>
      </c>
    </row>
    <row r="7" spans="1:5" x14ac:dyDescent="0.25">
      <c r="A7" t="s">
        <v>10</v>
      </c>
      <c r="B7">
        <v>31596</v>
      </c>
      <c r="C7">
        <v>4584212</v>
      </c>
      <c r="D7">
        <v>0.4611257258999103</v>
      </c>
      <c r="E7">
        <v>4.584212E-2</v>
      </c>
    </row>
    <row r="8" spans="1:5" x14ac:dyDescent="0.25">
      <c r="A8" t="s">
        <v>11</v>
      </c>
      <c r="B8">
        <v>9087</v>
      </c>
      <c r="C8">
        <v>49995000</v>
      </c>
      <c r="D8">
        <v>4.8414194755994684</v>
      </c>
      <c r="E8">
        <v>0.49995000000000001</v>
      </c>
    </row>
    <row r="11" spans="1:5" x14ac:dyDescent="0.25">
      <c r="A11" t="str">
        <f>A2</f>
        <v>Bubble sorting</v>
      </c>
      <c r="B11">
        <f>(E2+n10000_m100!E2+n10000_m1000!E2)/3</f>
        <v>0.99980000999999996</v>
      </c>
    </row>
    <row r="12" spans="1:5" x14ac:dyDescent="0.25">
      <c r="A12" t="str">
        <f t="shared" ref="A12:A17" si="0">A3</f>
        <v>Improved bubble sorting</v>
      </c>
      <c r="B12">
        <f>(E3+n10000_m100!E3+n10000_m1000!E3)/3</f>
        <v>0.49855622666666671</v>
      </c>
    </row>
    <row r="13" spans="1:5" x14ac:dyDescent="0.25">
      <c r="A13" t="str">
        <f t="shared" si="0"/>
        <v>Shaker sorting</v>
      </c>
      <c r="B13">
        <f>(E4+n10000_m100!E4+n10000_m1000!E4)/3</f>
        <v>0.37414826666666667</v>
      </c>
    </row>
    <row r="14" spans="1:5" x14ac:dyDescent="0.25">
      <c r="A14" t="str">
        <f t="shared" si="0"/>
        <v>Insert sorting</v>
      </c>
      <c r="B14">
        <f>(E5+n10000_m100!E5+n10000_m1000!E5)/3</f>
        <v>0.23935282000000002</v>
      </c>
    </row>
    <row r="15" spans="1:5" x14ac:dyDescent="0.25">
      <c r="A15" t="str">
        <f t="shared" si="0"/>
        <v>shell sorting</v>
      </c>
      <c r="B15">
        <f>(E6+n10000_m100!E6+n10000_m1000!E6)/3</f>
        <v>2.0497066666666668E-3</v>
      </c>
    </row>
    <row r="16" spans="1:5" x14ac:dyDescent="0.25">
      <c r="A16" t="str">
        <f t="shared" si="0"/>
        <v>quick sorting</v>
      </c>
      <c r="B16">
        <f>(E7+n10000_m100!E7+n10000_m1000!E7)/3</f>
        <v>1.7790986666666665E-2</v>
      </c>
    </row>
    <row r="17" spans="1:2" x14ac:dyDescent="0.25">
      <c r="A17" t="str">
        <f t="shared" si="0"/>
        <v>select sorting</v>
      </c>
      <c r="B17">
        <f>(E8+n10000_m100!E8+n10000_m1000!E8)/3</f>
        <v>0.49994999999999995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8"/>
  <sheetViews>
    <sheetView workbookViewId="0"/>
  </sheetViews>
  <sheetFormatPr defaultRowHeight="15" x14ac:dyDescent="0.25"/>
  <cols>
    <col min="1" max="5" width="20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24295094</v>
      </c>
      <c r="C2">
        <v>99980001</v>
      </c>
      <c r="D2">
        <v>14.690187219900141</v>
      </c>
      <c r="E2">
        <v>0.99980000999999996</v>
      </c>
    </row>
    <row r="3" spans="1:5" x14ac:dyDescent="0.25">
      <c r="A3" t="s">
        <v>6</v>
      </c>
      <c r="B3">
        <v>24295094</v>
      </c>
      <c r="C3">
        <v>49986222</v>
      </c>
      <c r="D3">
        <v>11.027632106000061</v>
      </c>
      <c r="E3">
        <v>0.49986222000000002</v>
      </c>
    </row>
    <row r="4" spans="1:5" x14ac:dyDescent="0.25">
      <c r="A4" t="s">
        <v>7</v>
      </c>
      <c r="B4">
        <v>24295094</v>
      </c>
      <c r="C4">
        <v>37256372</v>
      </c>
      <c r="D4">
        <v>9.6379121438998485</v>
      </c>
      <c r="E4">
        <v>0.37256371999999999</v>
      </c>
    </row>
    <row r="5" spans="1:5" x14ac:dyDescent="0.25">
      <c r="A5" t="s">
        <v>8</v>
      </c>
      <c r="B5">
        <v>24295094</v>
      </c>
      <c r="C5">
        <v>24305091</v>
      </c>
      <c r="D5">
        <v>6.4195911006001554</v>
      </c>
      <c r="E5">
        <v>0.24305091000000001</v>
      </c>
    </row>
    <row r="6" spans="1:5" x14ac:dyDescent="0.25">
      <c r="A6" t="s">
        <v>9</v>
      </c>
      <c r="B6">
        <v>89868</v>
      </c>
      <c r="C6">
        <v>205035</v>
      </c>
      <c r="D6">
        <v>5.2829842699793517E-2</v>
      </c>
      <c r="E6">
        <v>2.0503499999999998E-3</v>
      </c>
    </row>
    <row r="7" spans="1:5" x14ac:dyDescent="0.25">
      <c r="A7" t="s">
        <v>10</v>
      </c>
      <c r="B7">
        <v>47554</v>
      </c>
      <c r="C7">
        <v>583587</v>
      </c>
      <c r="D7">
        <v>6.8512290399667108E-2</v>
      </c>
      <c r="E7">
        <v>5.8358699999999999E-3</v>
      </c>
    </row>
    <row r="8" spans="1:5" x14ac:dyDescent="0.25">
      <c r="A8" t="s">
        <v>11</v>
      </c>
      <c r="B8">
        <v>9924</v>
      </c>
      <c r="C8">
        <v>49995000</v>
      </c>
      <c r="D8">
        <v>4.6614618373001573</v>
      </c>
      <c r="E8">
        <v>0.49995000000000001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"/>
  <sheetViews>
    <sheetView workbookViewId="0"/>
  </sheetViews>
  <sheetFormatPr defaultRowHeight="15" x14ac:dyDescent="0.25"/>
  <cols>
    <col min="1" max="5" width="20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24616769</v>
      </c>
      <c r="C2">
        <v>99980001</v>
      </c>
      <c r="D2">
        <v>17.009120454400179</v>
      </c>
      <c r="E2">
        <v>0.99980000999999996</v>
      </c>
    </row>
    <row r="3" spans="1:5" x14ac:dyDescent="0.25">
      <c r="A3" t="s">
        <v>6</v>
      </c>
      <c r="B3">
        <v>24616769</v>
      </c>
      <c r="C3">
        <v>49991997</v>
      </c>
      <c r="D3">
        <v>12.26313123519958</v>
      </c>
      <c r="E3">
        <v>0.49991996999999999</v>
      </c>
    </row>
    <row r="4" spans="1:5" x14ac:dyDescent="0.25">
      <c r="A4" t="s">
        <v>7</v>
      </c>
      <c r="B4">
        <v>24616769</v>
      </c>
      <c r="C4">
        <v>37276554</v>
      </c>
      <c r="D4">
        <v>10.21659272009965</v>
      </c>
      <c r="E4">
        <v>0.37276554000000001</v>
      </c>
    </row>
    <row r="5" spans="1:5" x14ac:dyDescent="0.25">
      <c r="A5" t="s">
        <v>8</v>
      </c>
      <c r="B5">
        <v>24616769</v>
      </c>
      <c r="C5">
        <v>24626762</v>
      </c>
      <c r="D5">
        <v>6.5821760285005437</v>
      </c>
      <c r="E5">
        <v>0.24626761999999999</v>
      </c>
    </row>
    <row r="6" spans="1:5" x14ac:dyDescent="0.25">
      <c r="A6" t="s">
        <v>9</v>
      </c>
      <c r="B6">
        <v>138883</v>
      </c>
      <c r="C6">
        <v>253905</v>
      </c>
      <c r="D6">
        <v>6.7985348300135223E-2</v>
      </c>
      <c r="E6">
        <v>2.5390500000000002E-3</v>
      </c>
    </row>
    <row r="7" spans="1:5" x14ac:dyDescent="0.25">
      <c r="A7" t="s">
        <v>10</v>
      </c>
      <c r="B7">
        <v>71175</v>
      </c>
      <c r="C7">
        <v>169497</v>
      </c>
      <c r="D7">
        <v>3.2306899899776913E-2</v>
      </c>
      <c r="E7">
        <v>1.6949700000000001E-3</v>
      </c>
    </row>
    <row r="8" spans="1:5" x14ac:dyDescent="0.25">
      <c r="A8" t="s">
        <v>11</v>
      </c>
      <c r="B8">
        <v>9981</v>
      </c>
      <c r="C8">
        <v>49995000</v>
      </c>
      <c r="D8">
        <v>4.9254909823004711</v>
      </c>
      <c r="E8">
        <v>0.49995000000000001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n10_m10</vt:lpstr>
      <vt:lpstr>n10_m100</vt:lpstr>
      <vt:lpstr>n10_m1000</vt:lpstr>
      <vt:lpstr>n100_m10</vt:lpstr>
      <vt:lpstr>n100_m100</vt:lpstr>
      <vt:lpstr>n100_m1000</vt:lpstr>
      <vt:lpstr>n1000_m10</vt:lpstr>
      <vt:lpstr>n1000_m100</vt:lpstr>
      <vt:lpstr>n1000_m1000</vt:lpstr>
      <vt:lpstr>n10000_m10</vt:lpstr>
      <vt:lpstr>n10000_m100</vt:lpstr>
      <vt:lpstr>n10000_m1000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Аристархов Владимир Дмитриевич</cp:lastModifiedBy>
  <dcterms:created xsi:type="dcterms:W3CDTF">2025-11-30T14:07:46Z</dcterms:created>
  <dcterms:modified xsi:type="dcterms:W3CDTF">2025-12-04T11:09:04Z</dcterms:modified>
</cp:coreProperties>
</file>